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<sst xmlns="http://schemas.openxmlformats.org/spreadsheetml/2006/main" count="250" uniqueCount="173">
  <si>
    <t xml:space="preserve">ID</t>
  </si>
  <si>
    <t xml:space="preserve">Type</t>
  </si>
  <si>
    <t xml:space="preserve">Requirement / Scenario</t>
  </si>
  <si>
    <t xml:space="preserve">Precondition</t>
  </si>
  <si>
    <t xml:space="preserve">Steps / Input</t>
  </si>
  <si>
    <t xml:space="preserve">Expected Result</t>
  </si>
  <si>
    <t xml:space="preserve">Actual Result</t>
  </si>
  <si>
    <t xml:space="preserve">Pass/Fail</t>
  </si>
  <si>
    <t xml:space="preserve">TC01</t>
  </si>
  <si>
    <t xml:space="preserve">Smoke</t>
  </si>
  <si>
    <t xml:space="preserve">API is up and reachable</t>
  </si>
  <si>
    <t xml:space="preserve">App container/process is running</t>
  </si>
  <si>
    <t xml:space="preserve">GET /health</t>
  </si>
  <si>
    <t xml:space="preserve">HTTP 200, JSON {"status":"ok","db":"connected"}</t>
  </si>
  <si>
    <t xml:space="preserve">HTTP 200 {"db":"connected","status":"ok"}</t>
  </si>
  <si>
    <t xml:space="preserve">Pass</t>
  </si>
  <si>
    <t xml:space="preserve">TC02</t>
  </si>
  <si>
    <t xml:space="preserve">Functional / CRUD (Read)</t>
  </si>
  <si>
    <t xml:space="preserve">List all users</t>
  </si>
  <si>
    <t xml:space="preserve">Database has seeded users</t>
  </si>
  <si>
    <t xml:space="preserve">GET /users</t>
  </si>
  <si>
    <t xml:space="preserve">HTTP 200, JSON array of all users</t>
  </si>
  <si>
    <t xml:space="preserve">HTTP 200, JSON array returned (10 seeded users incl. Ali Khan, Sara Ahmed, ...)</t>
  </si>
  <si>
    <t xml:space="preserve">TC03</t>
  </si>
  <si>
    <t xml:space="preserve">Positive / CRUD (Read)</t>
  </si>
  <si>
    <t xml:space="preserve">Get a single user by a valid, existing ID</t>
  </si>
  <si>
    <t xml:space="preserve">User with id=1 exists</t>
  </si>
  <si>
    <t xml:space="preserve">GET /users/1</t>
  </si>
  <si>
    <t xml:space="preserve">HTTP 200, JSON object for user id 1</t>
  </si>
  <si>
    <t xml:space="preserve">HTTP 200 {"id":1,"name":"Ali Khan","email":"ali.khan@example.com","status":"active"}</t>
  </si>
  <si>
    <t xml:space="preserve">TC04</t>
  </si>
  <si>
    <t xml:space="preserve">Negative / Invalid ID</t>
  </si>
  <si>
    <t xml:space="preserve">Get a user by a non-existent numeric ID</t>
  </si>
  <si>
    <t xml:space="preserve">No user with id=9999 exists</t>
  </si>
  <si>
    <t xml:space="preserve">GET /users/9999</t>
  </si>
  <si>
    <t xml:space="preserve">HTTP 404, error message "user not found"</t>
  </si>
  <si>
    <t xml:space="preserve">HTTP 404 {"error":"user not found"}</t>
  </si>
  <si>
    <t xml:space="preserve">TC05</t>
  </si>
  <si>
    <t xml:space="preserve">Boundary / Invalid ID</t>
  </si>
  <si>
    <t xml:space="preserve">Get a user using a non-numeric ID</t>
  </si>
  <si>
    <t xml:space="preserve">N/A</t>
  </si>
  <si>
    <t xml:space="preserve">GET /users/abc</t>
  </si>
  <si>
    <t xml:space="preserve">HTTP 400, error "id must be an integer"</t>
  </si>
  <si>
    <t xml:space="preserve">HTTP 400 {"error":"id must be an integer"}</t>
  </si>
  <si>
    <t xml:space="preserve">TC06</t>
  </si>
  <si>
    <t xml:space="preserve">Boundary</t>
  </si>
  <si>
    <t xml:space="preserve">Get user by ID = 0 (boundary value)</t>
  </si>
  <si>
    <t xml:space="preserve">No user with id=0 exists (IDs start at 1)</t>
  </si>
  <si>
    <t xml:space="preserve">GET /users/0</t>
  </si>
  <si>
    <t xml:space="preserve">HTTP 404, treated as a valid-format but non-existent ID</t>
  </si>
  <si>
    <t xml:space="preserve">TC07</t>
  </si>
  <si>
    <t xml:space="preserve">Get user by a negative ID</t>
  </si>
  <si>
    <t xml:space="preserve">GET /users/-1</t>
  </si>
  <si>
    <t xml:space="preserve">HTTP 400, rejected as invalid ID format</t>
  </si>
  <si>
    <t xml:space="preserve">TC08</t>
  </si>
  <si>
    <t xml:space="preserve">Functional / CRUD (Create)</t>
  </si>
  <si>
    <t xml:space="preserve">Create a user with all valid fields</t>
  </si>
  <si>
    <t xml:space="preserve">Email not already in use</t>
  </si>
  <si>
    <t xml:space="preserve">POST /users  {name:'QA Tester', email:'qa.tester@example.com', status:'active'}</t>
  </si>
  <si>
    <t xml:space="preserve">HTTP 201, returns created user with a new id</t>
  </si>
  <si>
    <t xml:space="preserve">HTTP 201, {"id":11,"name":"QA Tester", ...}</t>
  </si>
  <si>
    <t xml:space="preserve">TC09</t>
  </si>
  <si>
    <t xml:space="preserve">Negative / Missing field</t>
  </si>
  <si>
    <t xml:space="preserve">Create a user with the 'name' field missing</t>
  </si>
  <si>
    <t xml:space="preserve">POST /users  {email:'missingname@example.com', status:'active'}</t>
  </si>
  <si>
    <t xml:space="preserve">HTTP 400, error "name is required and must be a string"</t>
  </si>
  <si>
    <t xml:space="preserve">HTTP 400 {"error":"name is required and must be a string"}</t>
  </si>
  <si>
    <t xml:space="preserve">TC10</t>
  </si>
  <si>
    <t xml:space="preserve">Create a user with the 'email' field missing</t>
  </si>
  <si>
    <t xml:space="preserve">POST /users  {name:'No Email', status:'active'}</t>
  </si>
  <si>
    <t xml:space="preserve">HTTP 400, error "a valid email is required"</t>
  </si>
  <si>
    <t xml:space="preserve">HTTP 400 {"error":"a valid email is required"}</t>
  </si>
  <si>
    <t xml:space="preserve">TC11</t>
  </si>
  <si>
    <t xml:space="preserve">Negative / Invalid data</t>
  </si>
  <si>
    <t xml:space="preserve">Create a user with a malformed email address</t>
  </si>
  <si>
    <t xml:space="preserve">POST /users  {name:'Bad Email', email:'not-an-email', status:'active'}</t>
  </si>
  <si>
    <t xml:space="preserve">TC12</t>
  </si>
  <si>
    <t xml:space="preserve">Negative / Duplicate data</t>
  </si>
  <si>
    <t xml:space="preserve">Create a user with an email that already exists</t>
  </si>
  <si>
    <t xml:space="preserve">'ali.khan@example.com' already registered</t>
  </si>
  <si>
    <t xml:space="preserve">POST /users  {name:'Duplicate', email:'ali.khan@example.com', status:'active'}</t>
  </si>
  <si>
    <t xml:space="preserve">HTTP 409, error "email already exists"</t>
  </si>
  <si>
    <t xml:space="preserve">HTTP 409 {"error":"email already exists"}</t>
  </si>
  <si>
    <t xml:space="preserve">TC13</t>
  </si>
  <si>
    <t xml:space="preserve">Create a user with an invalid status value</t>
  </si>
  <si>
    <t xml:space="preserve">POST /users  {name:'Bad Status', email:'badstatus@example.com', status:'deleted'}</t>
  </si>
  <si>
    <t xml:space="preserve">HTTP 400, error listing allowed status values</t>
  </si>
  <si>
    <t xml:space="preserve">HTTP 400 {"error":"status must be one of ['active','inactive','pending']"}</t>
  </si>
  <si>
    <t xml:space="preserve">TC14</t>
  </si>
  <si>
    <t xml:space="preserve">Boundary / Functional</t>
  </si>
  <si>
    <t xml:space="preserve">Create a user with the optional 'status' field omitted</t>
  </si>
  <si>
    <t xml:space="preserve">POST /users  {name:'No Status Field', email:'nostatus@example.com'}</t>
  </si>
  <si>
    <t xml:space="preserve">HTTP 201, status defaults to 'active'</t>
  </si>
  <si>
    <t xml:space="preserve">HTTP 201, {"id":12,...,"status":"active"}</t>
  </si>
  <si>
    <t xml:space="preserve">TC15</t>
  </si>
  <si>
    <t xml:space="preserve">Negative / Missing data</t>
  </si>
  <si>
    <t xml:space="preserve">Create a user with a completely empty JSON body</t>
  </si>
  <si>
    <t xml:space="preserve">POST /users  {}</t>
  </si>
  <si>
    <t xml:space="preserve">HTTP 400, validation error returned</t>
  </si>
  <si>
    <t xml:space="preserve">HTTP 400 {"error":"request body must be JSON"}</t>
  </si>
  <si>
    <t xml:space="preserve">TC16</t>
  </si>
  <si>
    <t xml:space="preserve">Create a user sending non-JSON text as the body</t>
  </si>
  <si>
    <t xml:space="preserve">POST /users  (body: "not json at all")</t>
  </si>
  <si>
    <t xml:space="preserve">HTTP 400, request rejected gracefully (no server crash)</t>
  </si>
  <si>
    <t xml:space="preserve">TC17</t>
  </si>
  <si>
    <t xml:space="preserve">Functional / CRUD (Update)</t>
  </si>
  <si>
    <t xml:space="preserve">Update an existing user's status</t>
  </si>
  <si>
    <t xml:space="preserve">User id=2 exists</t>
  </si>
  <si>
    <t xml:space="preserve">PUT /users/2  {status:'inactive'}</t>
  </si>
  <si>
    <t xml:space="preserve">HTTP 200, user's status updated to inactive</t>
  </si>
  <si>
    <t xml:space="preserve">HTTP 200 {"id":2,...,"status":"inactive"}</t>
  </si>
  <si>
    <t xml:space="preserve">TC18</t>
  </si>
  <si>
    <t xml:space="preserve">Update a user that does not exist</t>
  </si>
  <si>
    <t xml:space="preserve">No user with id=9999</t>
  </si>
  <si>
    <t xml:space="preserve">PUT /users/9999  {status:'active'}</t>
  </si>
  <si>
    <t xml:space="preserve">HTTP 404, error "user not found"</t>
  </si>
  <si>
    <t xml:space="preserve">TC19</t>
  </si>
  <si>
    <t xml:space="preserve">Update a user's email to one already used by another user</t>
  </si>
  <si>
    <t xml:space="preserve">id=2 exists; 'ali.khan@example.com' used by id=1</t>
  </si>
  <si>
    <t xml:space="preserve">PUT /users/2  {email:'ali.khan@example.com'}</t>
  </si>
  <si>
    <t xml:space="preserve">HTTP 409, error "email already exists", update rejected</t>
  </si>
  <si>
    <t xml:space="preserve">TC20</t>
  </si>
  <si>
    <t xml:space="preserve">Negative / Unsupported method</t>
  </si>
  <si>
    <t xml:space="preserve">Call DELETE on /users/1, a method the API does not implement</t>
  </si>
  <si>
    <t xml:space="preserve">DELETE /users/1</t>
  </si>
  <si>
    <t xml:space="preserve">HTTP 405 Method Not Allowed</t>
  </si>
  <si>
    <t xml:space="preserve">TC21</t>
  </si>
  <si>
    <t xml:space="preserve">Call PATCH on /users/1, a method the API does not implement</t>
  </si>
  <si>
    <t xml:space="preserve">PATCH /users/1</t>
  </si>
  <si>
    <t xml:space="preserve">TC22</t>
  </si>
  <si>
    <t xml:space="preserve">Negative / Invalid route</t>
  </si>
  <si>
    <t xml:space="preserve">Request a route that does not exist on the API</t>
  </si>
  <si>
    <t xml:space="preserve">GET /nonexistent-route</t>
  </si>
  <si>
    <t xml:space="preserve">HTTP 404 Not Found</t>
  </si>
  <si>
    <t xml:space="preserve">TC23</t>
  </si>
  <si>
    <t xml:space="preserve">Integration</t>
  </si>
  <si>
    <t xml:space="preserve">Filter users list by status via query parameter</t>
  </si>
  <si>
    <t xml:space="preserve">Users with mixed statuses exist</t>
  </si>
  <si>
    <t xml:space="preserve">GET /users?status=active</t>
  </si>
  <si>
    <t xml:space="preserve">HTTP 200, only users with status=active returned</t>
  </si>
  <si>
    <t xml:space="preserve">HTTP 200, only active users returned (Ali Khan, Hamza Tariq, Usman Farooq, ...)</t>
  </si>
  <si>
    <t xml:space="preserve">TC24</t>
  </si>
  <si>
    <t xml:space="preserve">Integration / Dependency</t>
  </si>
  <si>
    <t xml:space="preserve">Create a user, then immediately fetch it by the returned ID (write-then-read consistency)</t>
  </si>
  <si>
    <t xml:space="preserve">1) POST /users {...}  2) capture returned id  3) GET /users/{id}</t>
  </si>
  <si>
    <t xml:space="preserve">The GET immediately reflects the just-created record with matching data</t>
  </si>
  <si>
    <t xml:space="preserve">POST returned id=13; GET /users/13 returned the same data (HTTP 200)</t>
  </si>
  <si>
    <t xml:space="preserve">TC25</t>
  </si>
  <si>
    <t xml:space="preserve">Integration / DB persistence</t>
  </si>
  <si>
    <t xml:space="preserve">Update a user, then re-fetch to confirm the change persisted in the DB</t>
  </si>
  <si>
    <t xml:space="preserve">User id=13 exists (from TC24)</t>
  </si>
  <si>
    <t xml:space="preserve">1) PUT /users/13 {status:'inactive'}  2) GET /users/13</t>
  </si>
  <si>
    <t xml:space="preserve">The re-fetched record shows the updated status, proving DB persistence</t>
  </si>
  <si>
    <t xml:space="preserve">GET /users/13 after update returned status='inactive' (HTTP 200)</t>
  </si>
  <si>
    <t xml:space="preserve">TC26</t>
  </si>
  <si>
    <t xml:space="preserve">Regression / Security</t>
  </si>
  <si>
    <t xml:space="preserve">A name containing SQL-injection-style syntax must be stored safely, not executed</t>
  </si>
  <si>
    <t xml:space="preserve">POST /users {name:'Robert"); DROP TABLE users;--', email:'sqlcheck@example.com', status:'active'}</t>
  </si>
  <si>
    <t xml:space="preserve">HTTP 201, string stored as harmless text, users table remains intact and queryable</t>
  </si>
  <si>
    <t xml:space="preserve">HTTP 201 created; table remained queryable immediately after (confirmed via TC27 health checks)</t>
  </si>
  <si>
    <t xml:space="preserve">TC27</t>
  </si>
  <si>
    <t xml:space="preserve">Smoke / Regression</t>
  </si>
  <si>
    <t xml:space="preserve">API remains stable and responsive after a sequence of positive/negative/edge-case requests</t>
  </si>
  <si>
    <t xml:space="preserve">Full test sequence TC01-TC26 just executed</t>
  </si>
  <si>
    <t xml:space="preserve">GET /health x3 in a row</t>
  </si>
  <si>
    <t xml:space="preserve">All 3 calls return HTTP 200 - no crash, no degradation</t>
  </si>
  <si>
    <t xml:space="preserve">health check 1: HTTP 200 / check 2: HTTP 200 / check 3: HTTP 200</t>
  </si>
  <si>
    <t xml:space="preserve">QA Test Execution Summary</t>
  </si>
  <si>
    <t xml:space="preserve">Total test cases</t>
  </si>
  <si>
    <t xml:space="preserve">Passed</t>
  </si>
  <si>
    <t xml:space="preserve">Failed</t>
  </si>
  <si>
    <t xml:space="preserve">Pass rate</t>
  </si>
  <si>
    <t xml:space="preserve">Coverage by Test Type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</si>
</sst>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customFormat="false" ht="23.85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4" t="s">
        <v>15</v>
      </c>
    </row>
    <row r="4" customFormat="false" ht="35.05" hidden="false" customHeight="false" outlineLevel="0" collapsed="false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4" t="s">
        <v>15</v>
      </c>
    </row>
    <row r="5" customFormat="false" ht="23.85" hidden="false" customHeight="false" outlineLevel="0" collapsed="false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4" t="s">
        <v>15</v>
      </c>
    </row>
    <row r="6" customFormat="false" ht="23.85" hidden="false" customHeight="false" outlineLevel="0" collapsed="false">
      <c r="A6" s="2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4" t="s">
        <v>15</v>
      </c>
    </row>
    <row r="7" customFormat="false" ht="23.85" hidden="false" customHeight="false" outlineLevel="0" collapsed="false">
      <c r="A7" s="2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36</v>
      </c>
      <c r="H7" s="4" t="s">
        <v>15</v>
      </c>
    </row>
    <row r="8" customFormat="false" ht="23.85" hidden="false" customHeight="false" outlineLevel="0" collapsed="false">
      <c r="A8" s="2" t="s">
        <v>50</v>
      </c>
      <c r="B8" s="3" t="s">
        <v>38</v>
      </c>
      <c r="C8" s="3" t="s">
        <v>51</v>
      </c>
      <c r="D8" s="3" t="s">
        <v>40</v>
      </c>
      <c r="E8" s="3" t="s">
        <v>52</v>
      </c>
      <c r="F8" s="3" t="s">
        <v>53</v>
      </c>
      <c r="G8" s="3" t="s">
        <v>43</v>
      </c>
      <c r="H8" s="4" t="s">
        <v>15</v>
      </c>
    </row>
    <row r="9" customFormat="false" ht="23.85" hidden="false" customHeight="false" outlineLevel="0" collapsed="false">
      <c r="A9" s="2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4" t="s">
        <v>15</v>
      </c>
    </row>
    <row r="10" customFormat="false" ht="35.05" hidden="false" customHeight="false" outlineLevel="0" collapsed="false">
      <c r="A10" s="2" t="s">
        <v>61</v>
      </c>
      <c r="B10" s="3" t="s">
        <v>62</v>
      </c>
      <c r="C10" s="3" t="s">
        <v>63</v>
      </c>
      <c r="D10" s="3" t="s">
        <v>40</v>
      </c>
      <c r="E10" s="3" t="s">
        <v>64</v>
      </c>
      <c r="F10" s="3" t="s">
        <v>65</v>
      </c>
      <c r="G10" s="3" t="s">
        <v>66</v>
      </c>
      <c r="H10" s="4" t="s">
        <v>15</v>
      </c>
    </row>
    <row r="11" customFormat="false" ht="23.85" hidden="false" customHeight="false" outlineLevel="0" collapsed="false">
      <c r="A11" s="2" t="s">
        <v>67</v>
      </c>
      <c r="B11" s="3" t="s">
        <v>62</v>
      </c>
      <c r="C11" s="3" t="s">
        <v>68</v>
      </c>
      <c r="D11" s="3" t="s">
        <v>40</v>
      </c>
      <c r="E11" s="3" t="s">
        <v>69</v>
      </c>
      <c r="F11" s="3" t="s">
        <v>70</v>
      </c>
      <c r="G11" s="3" t="s">
        <v>71</v>
      </c>
      <c r="H11" s="4" t="s">
        <v>15</v>
      </c>
    </row>
    <row r="12" customFormat="false" ht="23.85" hidden="false" customHeight="false" outlineLevel="0" collapsed="false">
      <c r="A12" s="2" t="s">
        <v>72</v>
      </c>
      <c r="B12" s="3" t="s">
        <v>73</v>
      </c>
      <c r="C12" s="3" t="s">
        <v>74</v>
      </c>
      <c r="D12" s="3" t="s">
        <v>40</v>
      </c>
      <c r="E12" s="3" t="s">
        <v>75</v>
      </c>
      <c r="F12" s="3" t="s">
        <v>70</v>
      </c>
      <c r="G12" s="3" t="s">
        <v>71</v>
      </c>
      <c r="H12" s="4" t="s">
        <v>15</v>
      </c>
    </row>
    <row r="13" customFormat="false" ht="23.85" hidden="false" customHeight="false" outlineLevel="0" collapsed="false">
      <c r="A13" s="2" t="s">
        <v>76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4" t="s">
        <v>15</v>
      </c>
    </row>
    <row r="14" customFormat="false" ht="23.85" hidden="false" customHeight="false" outlineLevel="0" collapsed="false">
      <c r="A14" s="2" t="s">
        <v>83</v>
      </c>
      <c r="B14" s="3" t="s">
        <v>73</v>
      </c>
      <c r="C14" s="3" t="s">
        <v>84</v>
      </c>
      <c r="D14" s="3" t="s">
        <v>40</v>
      </c>
      <c r="E14" s="3" t="s">
        <v>85</v>
      </c>
      <c r="F14" s="3" t="s">
        <v>86</v>
      </c>
      <c r="G14" s="3" t="s">
        <v>87</v>
      </c>
      <c r="H14" s="4" t="s">
        <v>15</v>
      </c>
    </row>
    <row r="15" customFormat="false" ht="23.85" hidden="false" customHeight="false" outlineLevel="0" collapsed="false">
      <c r="A15" s="2" t="s">
        <v>88</v>
      </c>
      <c r="B15" s="3" t="s">
        <v>89</v>
      </c>
      <c r="C15" s="3" t="s">
        <v>90</v>
      </c>
      <c r="D15" s="3" t="s">
        <v>40</v>
      </c>
      <c r="E15" s="3" t="s">
        <v>91</v>
      </c>
      <c r="F15" s="3" t="s">
        <v>92</v>
      </c>
      <c r="G15" s="3" t="s">
        <v>93</v>
      </c>
      <c r="H15" s="4" t="s">
        <v>15</v>
      </c>
    </row>
    <row r="16" customFormat="false" ht="23.85" hidden="false" customHeight="false" outlineLevel="0" collapsed="false">
      <c r="A16" s="2" t="s">
        <v>94</v>
      </c>
      <c r="B16" s="3" t="s">
        <v>95</v>
      </c>
      <c r="C16" s="3" t="s">
        <v>96</v>
      </c>
      <c r="D16" s="3" t="s">
        <v>40</v>
      </c>
      <c r="E16" s="3" t="s">
        <v>97</v>
      </c>
      <c r="F16" s="3" t="s">
        <v>98</v>
      </c>
      <c r="G16" s="3" t="s">
        <v>99</v>
      </c>
      <c r="H16" s="4" t="s">
        <v>15</v>
      </c>
    </row>
    <row r="17" customFormat="false" ht="23.85" hidden="false" customHeight="false" outlineLevel="0" collapsed="false">
      <c r="A17" s="2" t="s">
        <v>100</v>
      </c>
      <c r="B17" s="3" t="s">
        <v>73</v>
      </c>
      <c r="C17" s="3" t="s">
        <v>101</v>
      </c>
      <c r="D17" s="3" t="s">
        <v>40</v>
      </c>
      <c r="E17" s="3" t="s">
        <v>102</v>
      </c>
      <c r="F17" s="3" t="s">
        <v>103</v>
      </c>
      <c r="G17" s="3" t="s">
        <v>99</v>
      </c>
      <c r="H17" s="4" t="s">
        <v>15</v>
      </c>
    </row>
    <row r="18" customFormat="false" ht="23.85" hidden="false" customHeight="false" outlineLevel="0" collapsed="false">
      <c r="A18" s="2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  <c r="H18" s="4" t="s">
        <v>15</v>
      </c>
    </row>
    <row r="19" customFormat="false" ht="23.85" hidden="false" customHeight="false" outlineLevel="0" collapsed="false">
      <c r="A19" s="2" t="s">
        <v>111</v>
      </c>
      <c r="B19" s="3" t="s">
        <v>31</v>
      </c>
      <c r="C19" s="3" t="s">
        <v>112</v>
      </c>
      <c r="D19" s="3" t="s">
        <v>113</v>
      </c>
      <c r="E19" s="3" t="s">
        <v>114</v>
      </c>
      <c r="F19" s="3" t="s">
        <v>115</v>
      </c>
      <c r="G19" s="3" t="s">
        <v>36</v>
      </c>
      <c r="H19" s="4" t="s">
        <v>15</v>
      </c>
    </row>
    <row r="20" customFormat="false" ht="35.05" hidden="false" customHeight="false" outlineLevel="0" collapsed="false">
      <c r="A20" s="2" t="s">
        <v>116</v>
      </c>
      <c r="B20" s="3" t="s">
        <v>77</v>
      </c>
      <c r="C20" s="3" t="s">
        <v>117</v>
      </c>
      <c r="D20" s="3" t="s">
        <v>118</v>
      </c>
      <c r="E20" s="3" t="s">
        <v>119</v>
      </c>
      <c r="F20" s="3" t="s">
        <v>120</v>
      </c>
      <c r="G20" s="3" t="s">
        <v>82</v>
      </c>
      <c r="H20" s="4" t="s">
        <v>15</v>
      </c>
    </row>
    <row r="21" customFormat="false" ht="35.05" hidden="false" customHeight="false" outlineLevel="0" collapsed="false">
      <c r="A21" s="2" t="s">
        <v>121</v>
      </c>
      <c r="B21" s="3" t="s">
        <v>122</v>
      </c>
      <c r="C21" s="3" t="s">
        <v>123</v>
      </c>
      <c r="D21" s="3" t="s">
        <v>40</v>
      </c>
      <c r="E21" s="3" t="s">
        <v>124</v>
      </c>
      <c r="F21" s="3" t="s">
        <v>125</v>
      </c>
      <c r="G21" s="3" t="s">
        <v>125</v>
      </c>
      <c r="H21" s="4" t="s">
        <v>15</v>
      </c>
    </row>
    <row r="22" customFormat="false" ht="35.05" hidden="false" customHeight="false" outlineLevel="0" collapsed="false">
      <c r="A22" s="2" t="s">
        <v>126</v>
      </c>
      <c r="B22" s="3" t="s">
        <v>122</v>
      </c>
      <c r="C22" s="3" t="s">
        <v>127</v>
      </c>
      <c r="D22" s="3" t="s">
        <v>40</v>
      </c>
      <c r="E22" s="3" t="s">
        <v>128</v>
      </c>
      <c r="F22" s="3" t="s">
        <v>125</v>
      </c>
      <c r="G22" s="3" t="s">
        <v>125</v>
      </c>
      <c r="H22" s="4" t="s">
        <v>15</v>
      </c>
    </row>
    <row r="23" customFormat="false" ht="23.85" hidden="false" customHeight="false" outlineLevel="0" collapsed="false">
      <c r="A23" s="2" t="s">
        <v>129</v>
      </c>
      <c r="B23" s="3" t="s">
        <v>130</v>
      </c>
      <c r="C23" s="3" t="s">
        <v>131</v>
      </c>
      <c r="D23" s="3" t="s">
        <v>40</v>
      </c>
      <c r="E23" s="3" t="s">
        <v>132</v>
      </c>
      <c r="F23" s="3" t="s">
        <v>133</v>
      </c>
      <c r="G23" s="3" t="s">
        <v>133</v>
      </c>
      <c r="H23" s="4" t="s">
        <v>15</v>
      </c>
    </row>
    <row r="24" customFormat="false" ht="23.85" hidden="false" customHeight="false" outlineLevel="0" collapsed="false">
      <c r="A24" s="2" t="s">
        <v>134</v>
      </c>
      <c r="B24" s="3" t="s">
        <v>135</v>
      </c>
      <c r="C24" s="3" t="s">
        <v>136</v>
      </c>
      <c r="D24" s="3" t="s">
        <v>137</v>
      </c>
      <c r="E24" s="3" t="s">
        <v>138</v>
      </c>
      <c r="F24" s="3" t="s">
        <v>139</v>
      </c>
      <c r="G24" s="3" t="s">
        <v>140</v>
      </c>
      <c r="H24" s="4" t="s">
        <v>15</v>
      </c>
    </row>
    <row r="25" customFormat="false" ht="35.05" hidden="false" customHeight="false" outlineLevel="0" collapsed="false">
      <c r="A25" s="2" t="s">
        <v>141</v>
      </c>
      <c r="B25" s="3" t="s">
        <v>142</v>
      </c>
      <c r="C25" s="3" t="s">
        <v>143</v>
      </c>
      <c r="D25" s="3" t="s">
        <v>40</v>
      </c>
      <c r="E25" s="3" t="s">
        <v>144</v>
      </c>
      <c r="F25" s="3" t="s">
        <v>145</v>
      </c>
      <c r="G25" s="3" t="s">
        <v>146</v>
      </c>
      <c r="H25" s="4" t="s">
        <v>15</v>
      </c>
    </row>
    <row r="26" customFormat="false" ht="23.85" hidden="false" customHeight="false" outlineLevel="0" collapsed="false">
      <c r="A26" s="2" t="s">
        <v>147</v>
      </c>
      <c r="B26" s="3" t="s">
        <v>148</v>
      </c>
      <c r="C26" s="3" t="s">
        <v>149</v>
      </c>
      <c r="D26" s="3" t="s">
        <v>150</v>
      </c>
      <c r="E26" s="3" t="s">
        <v>151</v>
      </c>
      <c r="F26" s="3" t="s">
        <v>152</v>
      </c>
      <c r="G26" s="3" t="s">
        <v>153</v>
      </c>
      <c r="H26" s="4" t="s">
        <v>15</v>
      </c>
    </row>
    <row r="27" customFormat="false" ht="35.05" hidden="false" customHeight="false" outlineLevel="0" collapsed="false">
      <c r="A27" s="2" t="s">
        <v>154</v>
      </c>
      <c r="B27" s="3" t="s">
        <v>155</v>
      </c>
      <c r="C27" s="3" t="s">
        <v>156</v>
      </c>
      <c r="D27" s="3" t="s">
        <v>40</v>
      </c>
      <c r="E27" s="3" t="s">
        <v>157</v>
      </c>
      <c r="F27" s="3" t="s">
        <v>158</v>
      </c>
      <c r="G27" s="3" t="s">
        <v>159</v>
      </c>
      <c r="H27" s="4" t="s">
        <v>15</v>
      </c>
    </row>
    <row r="28" customFormat="false" ht="35.05" hidden="false" customHeight="false" outlineLevel="0" collapsed="false">
      <c r="A28" s="2" t="s">
        <v>160</v>
      </c>
      <c r="B28" s="3" t="s">
        <v>161</v>
      </c>
      <c r="C28" s="3" t="s">
        <v>162</v>
      </c>
      <c r="D28" s="3" t="s">
        <v>163</v>
      </c>
      <c r="E28" s="3" t="s">
        <v>164</v>
      </c>
      <c r="F28" s="3" t="s">
        <v>165</v>
      </c>
      <c r="G28" s="3" t="s">
        <v>166</v>
      </c>
      <c r="H2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167</v>
      </c>
    </row>
    <row r="3" customFormat="false" ht="15" hidden="false" customHeight="false" outlineLevel="0" collapsed="false">
      <c r="A3" s="6" t="s">
        <v>168</v>
      </c>
      <c r="B3" s="7" t="n">
        <f aca="false">COUNTA('Test Cases'!A2:A1000)</f>
        <v>27</v>
      </c>
    </row>
    <row r="4" customFormat="false" ht="15" hidden="false" customHeight="false" outlineLevel="0" collapsed="false">
      <c r="A4" s="6" t="s">
        <v>169</v>
      </c>
      <c r="B4" s="7" t="n">
        <f aca="false">COUNTIF('Test Cases'!H2:H1000,"Pass")</f>
        <v>27</v>
      </c>
    </row>
    <row r="5" customFormat="false" ht="15" hidden="false" customHeight="false" outlineLevel="0" collapsed="false">
      <c r="A5" s="6" t="s">
        <v>170</v>
      </c>
      <c r="B5" s="7" t="n">
        <f aca="false">COUNTIF('Test Cases'!H2:H1000,"Fail")</f>
        <v>0</v>
      </c>
    </row>
    <row r="6" customFormat="false" ht="15" hidden="false" customHeight="false" outlineLevel="0" collapsed="false">
      <c r="A6" s="6" t="s">
        <v>171</v>
      </c>
      <c r="B6" s="8" t="n">
        <f aca="false">B4/B3</f>
        <v>1</v>
      </c>
    </row>
    <row r="8" customFormat="false" ht="15" hidden="false" customHeight="false" outlineLevel="0" collapsed="false">
      <c r="A8" s="6" t="s">
        <v>172</v>
      </c>
    </row>
    <row r="9" customFormat="false" ht="15" hidden="false" customHeight="false" outlineLevel="0" collapsed="false">
      <c r="A9" s="7" t="s">
        <v>9</v>
      </c>
      <c r="B9" s="7" t="n">
        <f aca="false">COUNTIF('Test Cases'!B2:B1000,"Smoke")</f>
        <v>1</v>
      </c>
    </row>
    <row r="10" customFormat="false" ht="15" hidden="false" customHeight="false" outlineLevel="0" collapsed="false">
      <c r="A10" s="7" t="s">
        <v>17</v>
      </c>
      <c r="B10" s="7" t="n">
        <f aca="false">COUNTIF('Test Cases'!B2:B1000,"Functional / CRUD (Read)")</f>
        <v>1</v>
      </c>
    </row>
    <row r="11" customFormat="false" ht="15" hidden="false" customHeight="false" outlineLevel="0" collapsed="false">
      <c r="A11" s="7" t="s">
        <v>55</v>
      </c>
      <c r="B11" s="7" t="n">
        <f aca="false">COUNTIF('Test Cases'!B2:B1000,"Functional / CRUD (Create)")</f>
        <v>1</v>
      </c>
    </row>
    <row r="12" customFormat="false" ht="15" hidden="false" customHeight="false" outlineLevel="0" collapsed="false">
      <c r="A12" s="7" t="s">
        <v>105</v>
      </c>
      <c r="B12" s="7" t="n">
        <f aca="false">COUNTIF('Test Cases'!B2:B1000,"Functional / CRUD (Update)")</f>
        <v>1</v>
      </c>
    </row>
    <row r="13" customFormat="false" ht="15" hidden="false" customHeight="false" outlineLevel="0" collapsed="false">
      <c r="A13" s="7" t="s">
        <v>24</v>
      </c>
      <c r="B13" s="7" t="n">
        <f aca="false">COUNTIF('Test Cases'!B2:B1000,"Positive / CRUD (Read)")</f>
        <v>1</v>
      </c>
    </row>
    <row r="14" customFormat="false" ht="15" hidden="false" customHeight="false" outlineLevel="0" collapsed="false">
      <c r="A14" s="7" t="s">
        <v>31</v>
      </c>
      <c r="B14" s="7" t="n">
        <f aca="false">COUNTIF('Test Cases'!B2:B1000,"Negative / Invalid ID")</f>
        <v>2</v>
      </c>
    </row>
    <row r="15" customFormat="false" ht="15" hidden="false" customHeight="false" outlineLevel="0" collapsed="false">
      <c r="A15" s="7" t="s">
        <v>45</v>
      </c>
      <c r="B15" s="7" t="n">
        <f aca="false">COUNTIF('Test Cases'!B2:B1000,"Boundary")</f>
        <v>1</v>
      </c>
    </row>
    <row r="16" customFormat="false" ht="15" hidden="false" customHeight="false" outlineLevel="0" collapsed="false">
      <c r="A16" s="7" t="s">
        <v>38</v>
      </c>
      <c r="B16" s="7" t="n">
        <f aca="false">COUNTIF('Test Cases'!B2:B1000,"Boundary / Invalid ID")</f>
        <v>2</v>
      </c>
    </row>
    <row r="17" customFormat="false" ht="15" hidden="false" customHeight="false" outlineLevel="0" collapsed="false">
      <c r="A17" s="7" t="s">
        <v>62</v>
      </c>
      <c r="B17" s="7" t="n">
        <f aca="false">COUNTIF('Test Cases'!B2:B1000,"Negative / Missing field")</f>
        <v>2</v>
      </c>
    </row>
    <row r="18" customFormat="false" ht="15" hidden="false" customHeight="false" outlineLevel="0" collapsed="false">
      <c r="A18" s="7" t="s">
        <v>73</v>
      </c>
      <c r="B18" s="7" t="n">
        <f aca="false">COUNTIF('Test Cases'!B2:B1000,"Negative / Invalid data")</f>
        <v>3</v>
      </c>
    </row>
    <row r="19" customFormat="false" ht="15" hidden="false" customHeight="false" outlineLevel="0" collapsed="false">
      <c r="A19" s="7" t="s">
        <v>77</v>
      </c>
      <c r="B19" s="7" t="n">
        <f aca="false">COUNTIF('Test Cases'!B2:B1000,"Negative / Duplicate data")</f>
        <v>2</v>
      </c>
    </row>
    <row r="20" customFormat="false" ht="15" hidden="false" customHeight="false" outlineLevel="0" collapsed="false">
      <c r="A20" s="7" t="s">
        <v>89</v>
      </c>
      <c r="B20" s="7" t="n">
        <f aca="false">COUNTIF('Test Cases'!B2:B1000,"Boundary / Functional")</f>
        <v>1</v>
      </c>
    </row>
    <row r="21" customFormat="false" ht="15" hidden="false" customHeight="false" outlineLevel="0" collapsed="false">
      <c r="A21" s="7" t="s">
        <v>95</v>
      </c>
      <c r="B21" s="7" t="n">
        <f aca="false">COUNTIF('Test Cases'!B2:B1000,"Negative / Missing data")</f>
        <v>1</v>
      </c>
    </row>
    <row r="22" customFormat="false" ht="15" hidden="false" customHeight="false" outlineLevel="0" collapsed="false">
      <c r="A22" s="7" t="s">
        <v>122</v>
      </c>
      <c r="B22" s="7" t="n">
        <f aca="false">COUNTIF('Test Cases'!B2:B1000,"Negative / Unsupported method")</f>
        <v>2</v>
      </c>
    </row>
    <row r="23" customFormat="false" ht="15" hidden="false" customHeight="false" outlineLevel="0" collapsed="false">
      <c r="A23" s="7" t="s">
        <v>130</v>
      </c>
      <c r="B23" s="7" t="n">
        <f aca="false">COUNTIF('Test Cases'!B2:B1000,"Negative / Invalid route")</f>
        <v>1</v>
      </c>
    </row>
    <row r="24" customFormat="false" ht="15" hidden="false" customHeight="false" outlineLevel="0" collapsed="false">
      <c r="A24" s="7" t="s">
        <v>135</v>
      </c>
      <c r="B24" s="7" t="n">
        <f aca="false">COUNTIF('Test Cases'!B2:B1000,"Integration")</f>
        <v>1</v>
      </c>
    </row>
    <row r="25" customFormat="false" ht="15" hidden="false" customHeight="false" outlineLevel="0" collapsed="false">
      <c r="A25" s="7" t="s">
        <v>142</v>
      </c>
      <c r="B25" s="7" t="n">
        <f aca="false">COUNTIF('Test Cases'!B2:B1000,"Integration / Dependency")</f>
        <v>1</v>
      </c>
    </row>
    <row r="26" customFormat="false" ht="15" hidden="false" customHeight="false" outlineLevel="0" collapsed="false">
      <c r="A26" s="7" t="s">
        <v>148</v>
      </c>
      <c r="B26" s="7" t="n">
        <f aca="false">COUNTIF('Test Cases'!B2:B1000,"Integration / DB persistence")</f>
        <v>1</v>
      </c>
    </row>
    <row r="27" customFormat="false" ht="15" hidden="false" customHeight="false" outlineLevel="0" collapsed="false">
      <c r="A27" s="7" t="s">
        <v>155</v>
      </c>
      <c r="B27" s="7" t="n">
        <f aca="false">COUNTIF('Test Cases'!B2:B1000,"Regression / Security")</f>
        <v>1</v>
      </c>
    </row>
    <row r="28" customFormat="false" ht="15" hidden="false" customHeight="false" outlineLevel="0" collapsed="false">
      <c r="A28" s="7" t="s">
        <v>161</v>
      </c>
      <c r="B28" s="7" t="n">
        <f aca="false">COUNTIF('Test Cases'!B2:B1000,"Smoke / Regression")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2026-09-12T20:32:01Z</dcterms:created>
  <dc:creator>openpyxl</dc:creator>
  <dc:description/>
  <dc:language>en-US</dc:language>
  <cp:lastModifiedBy/>
  <dcterms:modified xsi:type="dcterms:W3CDTF">2026-09-12T20:32:01Z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